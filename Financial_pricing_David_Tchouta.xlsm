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90" windowWidth="11715" windowHeight="6735"/>
  </bookViews>
  <sheets>
    <sheet name="options_equities" sheetId="2" r:id="rId1"/>
    <sheet name="options_bonds" sheetId="3" r:id="rId2"/>
    <sheet name="Source" sheetId="4" r:id="rId3"/>
  </sheets>
  <functionGroups/>
  <definedNames>
    <definedName name="check_zero">options_bonds!$G$5</definedName>
    <definedName name="deb_zero_yiel">options_bonds!$F$5</definedName>
  </definedNames>
  <calcPr calcId="125725"/>
</workbook>
</file>

<file path=xl/calcChain.xml><?xml version="1.0" encoding="utf-8"?>
<calcChain xmlns="http://schemas.openxmlformats.org/spreadsheetml/2006/main">
  <c r="F6" i="3"/>
  <c r="F7"/>
  <c r="F8"/>
  <c r="F9"/>
  <c r="F10"/>
  <c r="F11"/>
  <c r="F12"/>
  <c r="F13"/>
  <c r="F14"/>
  <c r="F5"/>
  <c r="G13" i="2"/>
  <c r="D13"/>
  <c r="E13"/>
  <c r="E5"/>
  <c r="D14"/>
  <c r="A32"/>
  <c r="A29"/>
  <c r="A19"/>
  <c r="A22"/>
  <c r="E15"/>
  <c r="E16"/>
  <c r="A25"/>
  <c r="A31"/>
  <c r="E8"/>
  <c r="D16"/>
  <c r="A30"/>
  <c r="D17"/>
  <c r="A26"/>
  <c r="A21"/>
  <c r="A34"/>
  <c r="D15"/>
  <c r="G17"/>
  <c r="A23"/>
  <c r="E14"/>
  <c r="A27"/>
  <c r="B25"/>
  <c r="G16" i="3"/>
  <c r="E3" i="2"/>
  <c r="E4"/>
  <c r="A33"/>
  <c r="E7"/>
  <c r="A35"/>
  <c r="B35" s="1"/>
  <c r="G15"/>
  <c r="A28"/>
  <c r="A24"/>
  <c r="A20"/>
  <c r="B32"/>
  <c r="E17"/>
  <c r="B26"/>
  <c r="B33"/>
  <c r="B34"/>
  <c r="B27"/>
  <c r="B19"/>
  <c r="B31"/>
  <c r="B30"/>
  <c r="B21"/>
  <c r="B20"/>
  <c r="B23"/>
  <c r="B22"/>
  <c r="B28"/>
  <c r="B24"/>
  <c r="B29"/>
</calcChain>
</file>

<file path=xl/comments1.xml><?xml version="1.0" encoding="utf-8"?>
<comments xmlns="http://schemas.openxmlformats.org/spreadsheetml/2006/main">
  <authors>
    <author>davidd</author>
  </authors>
  <commentList>
    <comment ref="E2" authorId="0">
      <text>
        <r>
          <rPr>
            <b/>
            <sz val="9"/>
            <color indexed="81"/>
            <rFont val="Tahoma"/>
            <charset val="1"/>
          </rPr>
          <t>davidd:</t>
        </r>
        <r>
          <rPr>
            <sz val="9"/>
            <color indexed="81"/>
            <rFont val="Tahoma"/>
            <charset val="1"/>
          </rPr>
          <t xml:space="preserve">
You can find this example in the 10th edition of John Hull (page 495 in the french translate)</t>
        </r>
      </text>
    </comment>
    <comment ref="D3" authorId="0">
      <text>
        <r>
          <rPr>
            <b/>
            <sz val="9"/>
            <color indexed="81"/>
            <rFont val="Tahoma"/>
            <charset val="1"/>
          </rPr>
          <t>davidd:</t>
        </r>
        <r>
          <rPr>
            <sz val="9"/>
            <color indexed="81"/>
            <rFont val="Tahoma"/>
            <charset val="1"/>
          </rPr>
          <t xml:space="preserve">
Cox, Ross, Rubinstein method
</t>
        </r>
      </text>
    </comment>
    <comment ref="E3" authorId="0">
      <text>
        <r>
          <rPr>
            <b/>
            <sz val="9"/>
            <color indexed="81"/>
            <rFont val="Tahoma"/>
            <charset val="1"/>
          </rPr>
          <t>davidd:</t>
        </r>
        <r>
          <rPr>
            <sz val="9"/>
            <color indexed="81"/>
            <rFont val="Tahoma"/>
            <charset val="1"/>
          </rPr>
          <t xml:space="preserve">
S=50
K=50
r=0.05
sigma=0.3
T=0.5
q=0
exer=1 =European option
opt=1=call
</t>
        </r>
      </text>
    </comment>
    <comment ref="E4" authorId="0">
      <text>
        <r>
          <rPr>
            <b/>
            <sz val="9"/>
            <color indexed="81"/>
            <rFont val="Tahoma"/>
            <charset val="1"/>
          </rPr>
          <t>davidd:</t>
        </r>
        <r>
          <rPr>
            <sz val="9"/>
            <color indexed="81"/>
            <rFont val="Tahoma"/>
            <charset val="1"/>
          </rPr>
          <t xml:space="preserve">
S=50
K=50
r=0.05
sigma=0.3
T=0.5
q=0
opt=1=call
</t>
        </r>
      </text>
    </comment>
    <comment ref="E5" authorId="0">
      <text>
        <r>
          <rPr>
            <b/>
            <sz val="9"/>
            <color indexed="81"/>
            <rFont val="Tahoma"/>
            <charset val="1"/>
          </rPr>
          <t>davidd:</t>
        </r>
        <r>
          <rPr>
            <sz val="9"/>
            <color indexed="81"/>
            <rFont val="Tahoma"/>
            <charset val="1"/>
          </rPr>
          <t xml:space="preserve">
S=50
K=50
r=0.05
sigma=0.3
T=0.5</t>
        </r>
      </text>
    </comment>
    <comment ref="D7" authorId="0">
      <text>
        <r>
          <rPr>
            <b/>
            <sz val="9"/>
            <color indexed="81"/>
            <rFont val="Tahoma"/>
            <charset val="1"/>
          </rPr>
          <t>davidd:</t>
        </r>
        <r>
          <rPr>
            <sz val="9"/>
            <color indexed="81"/>
            <rFont val="Tahoma"/>
            <charset val="1"/>
          </rPr>
          <t xml:space="preserve">
Value at Risk</t>
        </r>
      </text>
    </comment>
    <comment ref="D12" authorId="0">
      <text>
        <r>
          <rPr>
            <b/>
            <sz val="9"/>
            <color indexed="81"/>
            <rFont val="Tahoma"/>
            <charset val="1"/>
          </rPr>
          <t>davidd:</t>
        </r>
        <r>
          <rPr>
            <sz val="9"/>
            <color indexed="81"/>
            <rFont val="Tahoma"/>
            <charset val="1"/>
          </rPr>
          <t xml:space="preserve">
you can find data input in 10th edition of John Hull (page 424 in french edition)
S=49
K=50
r=5%
q=0%
T=0.3846(20/52)
sigma=20%
</t>
        </r>
      </text>
    </comment>
    <comment ref="G12" authorId="0">
      <text>
        <r>
          <rPr>
            <b/>
            <sz val="9"/>
            <color indexed="81"/>
            <rFont val="Tahoma"/>
            <charset val="1"/>
          </rPr>
          <t>davidd:</t>
        </r>
        <r>
          <rPr>
            <sz val="9"/>
            <color indexed="81"/>
            <rFont val="Tahoma"/>
            <charset val="1"/>
          </rPr>
          <t xml:space="preserve">
Monte carlo Greek Valuation</t>
        </r>
      </text>
    </comment>
  </commentList>
</comments>
</file>

<file path=xl/sharedStrings.xml><?xml version="1.0" encoding="utf-8"?>
<sst xmlns="http://schemas.openxmlformats.org/spreadsheetml/2006/main" count="76" uniqueCount="70">
  <si>
    <t>volatility (sigma)</t>
  </si>
  <si>
    <t>Greeks</t>
  </si>
  <si>
    <t>Maturity</t>
  </si>
  <si>
    <t>Zero Yields</t>
  </si>
  <si>
    <t>Zero Price</t>
  </si>
  <si>
    <t>(continuous)</t>
  </si>
  <si>
    <t>exp(-rt)</t>
  </si>
  <si>
    <t>greeks hull</t>
  </si>
  <si>
    <t>MCGreeks</t>
  </si>
  <si>
    <t>Interest rates</t>
  </si>
  <si>
    <t>Bond value :</t>
  </si>
  <si>
    <t>Exercice Price(K)</t>
  </si>
  <si>
    <t>Binomial model call</t>
  </si>
  <si>
    <t>Black Scholes model call</t>
  </si>
  <si>
    <t>Monte Carlo Quasi random call</t>
  </si>
  <si>
    <t>VaR</t>
  </si>
  <si>
    <t>CVaR</t>
  </si>
  <si>
    <t>Share price(S)</t>
  </si>
  <si>
    <t>interest rate  -r</t>
  </si>
  <si>
    <t>Dividend Yield  (q)</t>
  </si>
  <si>
    <t>Option life(T,years)</t>
  </si>
  <si>
    <t>Example</t>
  </si>
  <si>
    <t>delta(1)</t>
  </si>
  <si>
    <t>gamma(2)</t>
  </si>
  <si>
    <t>rho(3)</t>
  </si>
  <si>
    <t>theta(4)</t>
  </si>
  <si>
    <t>vega(5)</t>
  </si>
  <si>
    <t>Option price</t>
  </si>
  <si>
    <t>Implied Volatility</t>
  </si>
  <si>
    <t xml:space="preserve"> BinOptValCRR_Eur_Amer(opt, exer, S, K, r, q, T, sigma, nstep)</t>
  </si>
  <si>
    <t>'if exer=1 then we price European Options</t>
  </si>
  <si>
    <t>'if exer=2 then we price American Options</t>
  </si>
  <si>
    <t>'if opt=1, we price a call</t>
  </si>
  <si>
    <t>'if opt=-1, we price a un put</t>
  </si>
  <si>
    <t>'if no dividend yield, q=0</t>
  </si>
  <si>
    <t>' if forex options, rate=rd-rf, rd=rate dosmestique, rf= foreign rate</t>
  </si>
  <si>
    <t>Steps in tree (nstep)</t>
  </si>
  <si>
    <t>Formula explanation</t>
  </si>
  <si>
    <t>Binomial model</t>
  </si>
  <si>
    <t>Black and Scholes model</t>
  </si>
  <si>
    <t>BSOpValuation(opt, S, K, r, q, T, sigma)</t>
  </si>
  <si>
    <t>Monte Carlo Quasi Random model</t>
  </si>
  <si>
    <t>' returns BS option greeks (depends on value of igreek)</t>
  </si>
  <si>
    <t>' opt=1 for call, -1 for put; q=div yld</t>
  </si>
  <si>
    <t xml:space="preserve"> uses BSDone function</t>
  </si>
  <si>
    <t xml:space="preserve"> uses BSDtwo function</t>
  </si>
  <si>
    <t xml:space="preserve"> uses BSNdashDone function</t>
  </si>
  <si>
    <t>Black and Scholes greeks valuation</t>
  </si>
  <si>
    <t xml:space="preserve"> lgrecq = delta(1), gamma(2), rho(3), theta(4) or vega(5)</t>
  </si>
  <si>
    <t>BSOptionGreeks(lgrecq, opt, S, K, r, q, T, sigma)</t>
  </si>
  <si>
    <t>MCOptionValueQuasiRandom(S, r, q, sigma, T, K, nsim)</t>
  </si>
  <si>
    <t>nsim means number of simulations</t>
  </si>
  <si>
    <t>Monte Carlo Greeks valuation</t>
  </si>
  <si>
    <t>uses BSOpValuation function</t>
  </si>
  <si>
    <t>QMCOptionGreek(lgrecq, opt, S, r, q, sigma, T, K, nsim)</t>
  </si>
  <si>
    <t>lgrecq (1=delta 3=rhô,  5=vega")</t>
  </si>
  <si>
    <t>Bond Valuation</t>
  </si>
  <si>
    <t>BondValue(T, coupon, vleurfacial)</t>
  </si>
  <si>
    <t>vleurfacial means face value</t>
  </si>
  <si>
    <t>ImpliedVol(opt, S, K, r, q, T, optPrice)</t>
  </si>
  <si>
    <t>optPrice= price of the option so we have previously calculated the value</t>
  </si>
  <si>
    <t>ValAtRisk(obs, alpha, dist)</t>
  </si>
  <si>
    <t>'dist (1=Loss distribution, 2=Profit and Loss distribution)</t>
  </si>
  <si>
    <t>alpha = confidence level</t>
  </si>
  <si>
    <t>obs= number of observations</t>
  </si>
  <si>
    <t>CVaRisq(obs, alpha, dist)</t>
  </si>
  <si>
    <t>Mary Jackson and Mike Staunton : Advanced Modelling in Finance using Excel-VBA -2001</t>
  </si>
  <si>
    <t>John Hull 10th Edition Options, Futures, and Other Derivatives 2017 (french version)</t>
  </si>
  <si>
    <t>Sources</t>
  </si>
  <si>
    <t>Patrice Poncet and Roland Portait : Finance de Marché 4th Edition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</si>
</sst>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0.000"/>
    <numFmt numFmtId="165" formatCode="0.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0" fontId="1" fillId="0" borderId="1" xfId="0" applyFont="1" applyBorder="1"/>
    <xf numFmtId="10" fontId="0" fillId="0" borderId="1" xfId="1" applyNumberFormat="1" applyFont="1" applyBorder="1"/>
    <xf numFmtId="10" fontId="0" fillId="0" borderId="1" xfId="0" applyNumberFormat="1" applyBorder="1"/>
    <xf numFmtId="0" fontId="0" fillId="0" borderId="0" xfId="0" applyBorder="1"/>
    <xf numFmtId="10" fontId="0" fillId="0" borderId="0" xfId="1" applyNumberFormat="1" applyFont="1"/>
    <xf numFmtId="0" fontId="0" fillId="0" borderId="0" xfId="0" applyFill="1"/>
    <xf numFmtId="0" fontId="0" fillId="0" borderId="1" xfId="0" applyFont="1" applyBorder="1"/>
    <xf numFmtId="0" fontId="0" fillId="3" borderId="1" xfId="0" applyFill="1" applyBorder="1"/>
    <xf numFmtId="43" fontId="3" fillId="2" borderId="1" xfId="2" applyFont="1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1" xfId="0" applyNumberFormat="1" applyBorder="1"/>
    <xf numFmtId="0" fontId="0" fillId="0" borderId="1" xfId="0" applyNumberFormat="1" applyBorder="1"/>
    <xf numFmtId="0" fontId="1" fillId="0" borderId="1" xfId="0" quotePrefix="1" applyFont="1" applyBorder="1"/>
    <xf numFmtId="0" fontId="0" fillId="0" borderId="1" xfId="0" applyFill="1" applyBorder="1"/>
    <xf numFmtId="0" fontId="0" fillId="0" borderId="1" xfId="0" quotePrefix="1" applyBorder="1"/>
    <xf numFmtId="0" fontId="3" fillId="0" borderId="1" xfId="0" applyFont="1" applyBorder="1"/>
    <xf numFmtId="0" fontId="3" fillId="0" borderId="1" xfId="0" applyFont="1" applyFill="1" applyBorder="1"/>
    <xf numFmtId="10" fontId="0" fillId="0" borderId="1" xfId="0" applyNumberFormat="1" applyFill="1" applyBorder="1"/>
    <xf numFmtId="0" fontId="1" fillId="0" borderId="0" xfId="0" applyFont="1" applyBorder="1"/>
    <xf numFmtId="164" fontId="0" fillId="0" borderId="0" xfId="0" applyNumberFormat="1" applyBorder="1"/>
    <xf numFmtId="10" fontId="0" fillId="0" borderId="0" xfId="0" applyNumberFormat="1" applyBorder="1"/>
    <xf numFmtId="2" fontId="0" fillId="0" borderId="0" xfId="0" applyNumberFormat="1" applyBorder="1"/>
    <xf numFmtId="165" fontId="0" fillId="0" borderId="0" xfId="0" applyNumberFormat="1" applyBorder="1"/>
    <xf numFmtId="0" fontId="0" fillId="0" borderId="4" xfId="1" applyNumberFormat="1" applyFont="1" applyFill="1" applyBorder="1"/>
    <xf numFmtId="0" fontId="7" fillId="0" borderId="2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A1:N52"/>
  <sheetViews>
    <sheetView tabSelected="1" zoomScale="90" zoomScaleNormal="90" workbookViewId="0">
      <selection activeCell="D10" sqref="D10"/>
    </sheetView>
  </sheetViews>
  <sheetFormatPr baseColWidth="10" defaultRowHeight="15"/>
  <cols>
    <col min="1" max="1" width="22.140625" customWidth="1"/>
    <col min="2" max="2" width="16.5703125" bestFit="1" customWidth="1"/>
    <col min="4" max="4" width="31.7109375" bestFit="1" customWidth="1"/>
    <col min="5" max="5" width="23.42578125" customWidth="1"/>
    <col min="6" max="6" width="14.28515625" customWidth="1"/>
    <col min="7" max="7" width="14.5703125" customWidth="1"/>
    <col min="8" max="8" width="28.42578125" bestFit="1" customWidth="1"/>
    <col min="9" max="9" width="16.5703125" bestFit="1" customWidth="1"/>
    <col min="14" max="14" width="16.5703125" bestFit="1" customWidth="1"/>
    <col min="16" max="16" width="13.42578125" customWidth="1"/>
  </cols>
  <sheetData>
    <row r="1" spans="1:14" ht="18.75">
      <c r="I1" s="29" t="s">
        <v>37</v>
      </c>
      <c r="J1" s="30"/>
      <c r="K1" s="30"/>
      <c r="L1" s="30"/>
      <c r="M1" s="30"/>
      <c r="N1" s="31"/>
    </row>
    <row r="2" spans="1:14" ht="18.75">
      <c r="E2" t="s">
        <v>21</v>
      </c>
      <c r="I2" s="20" t="s">
        <v>38</v>
      </c>
      <c r="L2" s="3"/>
      <c r="M2" s="3"/>
      <c r="N2" s="3"/>
    </row>
    <row r="3" spans="1:14">
      <c r="A3" s="3" t="s">
        <v>17</v>
      </c>
      <c r="B3" s="3">
        <v>50</v>
      </c>
      <c r="D3" s="3" t="s">
        <v>12</v>
      </c>
      <c r="E3" s="3">
        <f>BinOptValCRR_Eur_Amer(1,1,50,50,0.05,0,0.5,30%,100)</f>
        <v>4.8069529717835575</v>
      </c>
      <c r="I3" s="3"/>
      <c r="J3" s="17" t="s">
        <v>29</v>
      </c>
      <c r="K3" s="3"/>
      <c r="L3" s="3"/>
      <c r="M3" s="3"/>
      <c r="N3" s="3"/>
    </row>
    <row r="4" spans="1:14">
      <c r="A4" s="3" t="s">
        <v>11</v>
      </c>
      <c r="B4" s="3">
        <v>50</v>
      </c>
      <c r="D4" s="3" t="s">
        <v>13</v>
      </c>
      <c r="E4" s="3">
        <f>BSOpValuation(1,50,50,0.05,0,0.5,30%)</f>
        <v>4.8174383142245887</v>
      </c>
      <c r="I4" s="3"/>
      <c r="J4" s="3" t="s">
        <v>30</v>
      </c>
      <c r="K4" s="3"/>
      <c r="L4" s="3"/>
      <c r="M4" s="3"/>
      <c r="N4" s="3"/>
    </row>
    <row r="5" spans="1:14">
      <c r="A5" s="3" t="s">
        <v>18</v>
      </c>
      <c r="B5" s="15">
        <v>0.05</v>
      </c>
      <c r="D5" s="3" t="s">
        <v>14</v>
      </c>
      <c r="E5" s="3">
        <f>MCOptionValueQuasiRandom(50,0.05,0,0.3,0.5,50,1000)</f>
        <v>4.4134889196188691</v>
      </c>
      <c r="I5" s="3"/>
      <c r="J5" s="3" t="s">
        <v>31</v>
      </c>
      <c r="K5" s="3"/>
      <c r="L5" s="3"/>
      <c r="M5" s="3"/>
      <c r="N5" s="3"/>
    </row>
    <row r="6" spans="1:14" ht="18.75">
      <c r="A6" s="3"/>
      <c r="B6" s="3"/>
      <c r="F6" s="1"/>
      <c r="H6" s="2"/>
      <c r="I6" s="3"/>
      <c r="J6" s="3" t="s">
        <v>32</v>
      </c>
      <c r="K6" s="18"/>
      <c r="L6" s="3"/>
      <c r="M6" s="3"/>
      <c r="N6" s="3"/>
    </row>
    <row r="7" spans="1:14" ht="18.75">
      <c r="A7" s="3" t="s">
        <v>19</v>
      </c>
      <c r="B7" s="15">
        <v>0</v>
      </c>
      <c r="D7" s="11" t="s">
        <v>15</v>
      </c>
      <c r="E7" s="12">
        <f>ValAtRisk(1000,0.99,1)</f>
        <v>-169402.81193033906</v>
      </c>
      <c r="H7" s="2"/>
      <c r="I7" s="3"/>
      <c r="J7" s="3" t="s">
        <v>33</v>
      </c>
      <c r="K7" s="18"/>
      <c r="L7" s="3"/>
      <c r="M7" s="3"/>
      <c r="N7" s="3"/>
    </row>
    <row r="8" spans="1:14" ht="18.75">
      <c r="A8" s="3"/>
      <c r="B8" s="3"/>
      <c r="D8" s="11" t="s">
        <v>16</v>
      </c>
      <c r="E8" s="12">
        <f>CVaRisq(1000,0.99,1)</f>
        <v>-402281.99080721493</v>
      </c>
      <c r="H8" s="2"/>
      <c r="I8" s="3"/>
      <c r="J8" s="3" t="s">
        <v>34</v>
      </c>
      <c r="K8" s="18"/>
      <c r="L8" s="3"/>
      <c r="M8" s="3"/>
      <c r="N8" s="3"/>
    </row>
    <row r="9" spans="1:14" ht="18.75">
      <c r="A9" s="3"/>
      <c r="B9" s="16"/>
      <c r="H9" s="2"/>
      <c r="I9" s="3"/>
      <c r="J9" s="3" t="s">
        <v>35</v>
      </c>
      <c r="K9" s="18"/>
      <c r="L9" s="3"/>
      <c r="M9" s="3"/>
      <c r="N9" s="3"/>
    </row>
    <row r="10" spans="1:14">
      <c r="A10" s="3"/>
      <c r="B10" s="3"/>
      <c r="I10" s="3"/>
      <c r="J10" s="3"/>
      <c r="K10" s="3"/>
      <c r="L10" s="3"/>
      <c r="M10" s="3"/>
      <c r="N10" s="3"/>
    </row>
    <row r="11" spans="1:14" ht="18.75">
      <c r="A11" s="3" t="s">
        <v>20</v>
      </c>
      <c r="B11" s="16">
        <v>0.5</v>
      </c>
      <c r="I11" s="21" t="s">
        <v>39</v>
      </c>
      <c r="J11" s="3"/>
      <c r="K11" s="3"/>
      <c r="L11" s="3"/>
      <c r="M11" s="3"/>
      <c r="N11" s="3"/>
    </row>
    <row r="12" spans="1:14">
      <c r="A12" s="3" t="s">
        <v>0</v>
      </c>
      <c r="B12" s="15">
        <v>0.3</v>
      </c>
      <c r="D12" s="3" t="s">
        <v>7</v>
      </c>
      <c r="E12" s="13" t="s">
        <v>1</v>
      </c>
      <c r="F12" s="14"/>
      <c r="G12" s="3" t="s">
        <v>8</v>
      </c>
      <c r="I12" s="18"/>
      <c r="J12" s="4" t="s">
        <v>40</v>
      </c>
      <c r="K12" s="3"/>
      <c r="L12" s="3"/>
      <c r="M12" s="3"/>
      <c r="N12" s="3"/>
    </row>
    <row r="13" spans="1:14">
      <c r="A13" s="3"/>
      <c r="B13" s="3"/>
      <c r="D13" s="3">
        <f>BSOptionGreeks(1,1,49,50,0.05,0,0.3846,20%)</f>
        <v>0.52160163397157611</v>
      </c>
      <c r="E13" s="3">
        <f>BSOptionGreeks(1,1,100,95,8%,3%,0.5,20%)</f>
        <v>0.71827527075008479</v>
      </c>
      <c r="F13" s="3" t="s">
        <v>22</v>
      </c>
      <c r="G13" s="3">
        <f>QMCOptionGreek(1,1,49,0.05,0,20%,0.3846,50,50000)</f>
        <v>0.52223742250049099</v>
      </c>
      <c r="I13" s="18"/>
      <c r="J13" s="3"/>
      <c r="K13" s="3"/>
      <c r="L13" s="18"/>
      <c r="M13" s="3"/>
      <c r="N13" s="3"/>
    </row>
    <row r="14" spans="1:14">
      <c r="A14" s="3" t="s">
        <v>36</v>
      </c>
      <c r="B14" s="3">
        <v>100</v>
      </c>
      <c r="D14" s="3">
        <f>BSOptionGreeks(2,1,49,50,0.05,0,0.3846,20%)</f>
        <v>6.5545377252478679E-2</v>
      </c>
      <c r="E14" s="3">
        <f>BSOptionGreeks(2,1,100,95,8%,3%,0.5,20%)</f>
        <v>2.3069115834078776E-2</v>
      </c>
      <c r="F14" s="3" t="s">
        <v>23</v>
      </c>
      <c r="G14" s="3"/>
      <c r="I14" s="3"/>
      <c r="J14" s="3"/>
      <c r="K14" s="3"/>
      <c r="L14" s="18"/>
      <c r="M14" s="3"/>
      <c r="N14" s="3"/>
    </row>
    <row r="15" spans="1:14" ht="18.75">
      <c r="D15" s="3">
        <f>BSOptionGreeks(3,1,49,50,0.05,0,0.3846,20%)</f>
        <v>8.906574098800947</v>
      </c>
      <c r="E15" s="3">
        <f>BSOptionGreeks(3,1,100,95,8%,3%,0.5,20%)</f>
        <v>31.050885329870102</v>
      </c>
      <c r="F15" s="3" t="s">
        <v>24</v>
      </c>
      <c r="G15" s="3">
        <f>QMCOptionGreek(3,1,49,0.05,0,20%,0.3846,50,50000)</f>
        <v>8.937640000984306</v>
      </c>
      <c r="I15" s="20" t="s">
        <v>47</v>
      </c>
      <c r="J15" s="3"/>
      <c r="K15" s="3"/>
      <c r="L15" s="18"/>
      <c r="M15" s="3"/>
      <c r="N15" s="3"/>
    </row>
    <row r="16" spans="1:14">
      <c r="D16" s="3">
        <f>BSOptionGreeks(4,1,49,50,0.05,0,0.3846,20%)</f>
        <v>-4.3053899645461051</v>
      </c>
      <c r="E16" s="3">
        <f>BSOptionGreeks(4,1,100,95,8%,3%,0.5,20%)</f>
        <v>-7.4271390073447172</v>
      </c>
      <c r="F16" s="3" t="s">
        <v>25</v>
      </c>
      <c r="G16" s="3"/>
      <c r="I16" s="3"/>
      <c r="J16" s="17" t="s">
        <v>49</v>
      </c>
      <c r="K16" s="3"/>
      <c r="L16" s="18"/>
      <c r="M16" s="3"/>
      <c r="N16" s="3"/>
    </row>
    <row r="17" spans="1:14">
      <c r="D17" s="3">
        <f>BSOptionGreeks(5,1,49,50,0.05,0,0.3846,20%)</f>
        <v>12.105242754243843</v>
      </c>
      <c r="E17" s="3">
        <f>BSOptionGreeks(5,1,100,95,8%,3%,0.5,20%)</f>
        <v>23.069115834078779</v>
      </c>
      <c r="F17" s="3" t="s">
        <v>26</v>
      </c>
      <c r="G17" s="3">
        <f>QMCOptionGreek(5,1,49,0.05,0,20%,0.3846,50,10000)</f>
        <v>13.95000931729105</v>
      </c>
      <c r="I17" s="3"/>
      <c r="J17" s="3" t="s">
        <v>42</v>
      </c>
      <c r="K17" s="3"/>
      <c r="L17" s="18"/>
      <c r="M17" s="3"/>
      <c r="N17" s="3"/>
    </row>
    <row r="18" spans="1:14">
      <c r="A18" t="s">
        <v>27</v>
      </c>
      <c r="B18" t="s">
        <v>28</v>
      </c>
      <c r="I18" s="3"/>
      <c r="J18" s="19" t="s">
        <v>48</v>
      </c>
      <c r="K18" s="3"/>
      <c r="L18" s="18"/>
      <c r="M18" s="3"/>
      <c r="N18" s="3"/>
    </row>
    <row r="19" spans="1:14">
      <c r="A19">
        <f>MCOptionValueQuasiRandom(100,0.08,0.03,0.2,0.5,95,10000)</f>
        <v>9.5804115047395104</v>
      </c>
      <c r="B19" s="8">
        <f>ImpliedVol(1,100,95,8%,3%,0.5,A19)</f>
        <v>0.20000000000000004</v>
      </c>
      <c r="I19" s="3"/>
      <c r="J19" s="3" t="s">
        <v>43</v>
      </c>
      <c r="K19" s="3"/>
      <c r="L19" s="18"/>
      <c r="M19" s="3"/>
      <c r="N19" s="3"/>
    </row>
    <row r="20" spans="1:14">
      <c r="A20">
        <f>MCOptionValueQuasiRandom(100,0.08,0.03,0.2,0.5,95,10000)</f>
        <v>9.7011374750725992</v>
      </c>
      <c r="B20" s="8">
        <f>ImpliedVol(1,100,95,8%,3%,0.5,A20)</f>
        <v>0.20000000000000004</v>
      </c>
      <c r="I20" s="3"/>
      <c r="J20" s="19" t="s">
        <v>53</v>
      </c>
      <c r="K20" s="3"/>
      <c r="L20" s="18"/>
      <c r="M20" s="3"/>
      <c r="N20" s="3"/>
    </row>
    <row r="21" spans="1:14">
      <c r="A21">
        <f t="shared" ref="A21:A35" si="0">MCOptionValueQuasiRandom(100,0.08,0.03,0.2,0.5,95,10000)</f>
        <v>9.6747497073647626</v>
      </c>
      <c r="B21" s="8">
        <f>ImpliedVol(1,100,95,8%,3%,0.5,A21)</f>
        <v>0.20000000000000004</v>
      </c>
      <c r="I21" s="3"/>
      <c r="J21" s="19" t="s">
        <v>44</v>
      </c>
      <c r="K21" s="3"/>
      <c r="L21" s="18"/>
      <c r="M21" s="3"/>
      <c r="N21" s="3"/>
    </row>
    <row r="22" spans="1:14">
      <c r="A22">
        <f t="shared" si="0"/>
        <v>9.8265862036820764</v>
      </c>
      <c r="B22" s="8">
        <f>ImpliedVol(1,100,95,8%,3%,0.5,A22)</f>
        <v>0.21000000000000005</v>
      </c>
      <c r="G22" s="9"/>
      <c r="H22" s="9"/>
      <c r="I22" s="3"/>
      <c r="J22" s="19" t="s">
        <v>45</v>
      </c>
      <c r="K22" s="3"/>
      <c r="L22" s="18"/>
      <c r="M22" s="3"/>
      <c r="N22" s="3"/>
    </row>
    <row r="23" spans="1:14">
      <c r="A23">
        <f t="shared" si="0"/>
        <v>9.45802885966412</v>
      </c>
      <c r="B23" s="8">
        <f>ImpliedVol(1,100,95,8%,3%,0.5,A23)</f>
        <v>0.19000000000000003</v>
      </c>
      <c r="G23" s="9"/>
      <c r="H23" s="9"/>
      <c r="I23" s="3"/>
      <c r="J23" s="19" t="s">
        <v>46</v>
      </c>
      <c r="K23" s="3"/>
      <c r="L23" s="18"/>
      <c r="M23" s="3"/>
      <c r="N23" s="3"/>
    </row>
    <row r="24" spans="1:14">
      <c r="A24">
        <f t="shared" si="0"/>
        <v>9.647884123357894</v>
      </c>
      <c r="B24" s="8">
        <f t="shared" ref="B24:B34" si="1">ImpliedVol(1,100,95,8%,3%,0.5,A24)</f>
        <v>0.20000000000000004</v>
      </c>
      <c r="G24" s="9"/>
      <c r="H24" s="9"/>
      <c r="I24" s="3"/>
      <c r="J24" s="3"/>
      <c r="K24" s="3"/>
      <c r="L24" s="18"/>
      <c r="M24" s="3"/>
      <c r="N24" s="3"/>
    </row>
    <row r="25" spans="1:14" ht="18.75">
      <c r="A25">
        <f t="shared" si="0"/>
        <v>9.8623786771156468</v>
      </c>
      <c r="B25" s="8">
        <f t="shared" si="1"/>
        <v>0.21000000000000005</v>
      </c>
      <c r="G25" s="9"/>
      <c r="H25" s="9"/>
      <c r="I25" s="20" t="s">
        <v>41</v>
      </c>
      <c r="J25" s="3"/>
      <c r="K25" s="3"/>
      <c r="L25" s="18"/>
      <c r="M25" s="3"/>
      <c r="N25" s="3"/>
    </row>
    <row r="26" spans="1:14">
      <c r="A26">
        <f t="shared" si="0"/>
        <v>9.6732457213204697</v>
      </c>
      <c r="B26" s="8">
        <f t="shared" si="1"/>
        <v>0.20000000000000004</v>
      </c>
      <c r="G26" s="9"/>
      <c r="H26" s="9"/>
      <c r="I26" s="3"/>
      <c r="J26" s="17" t="s">
        <v>50</v>
      </c>
      <c r="K26" s="3"/>
      <c r="L26" s="18"/>
      <c r="M26" s="3"/>
      <c r="N26" s="3"/>
    </row>
    <row r="27" spans="1:14">
      <c r="A27">
        <f t="shared" si="0"/>
        <v>9.7496063702881575</v>
      </c>
      <c r="B27" s="8">
        <f t="shared" si="1"/>
        <v>0.21000000000000005</v>
      </c>
      <c r="I27" s="3"/>
      <c r="J27" s="19" t="s">
        <v>51</v>
      </c>
      <c r="K27" s="3"/>
      <c r="L27" s="3"/>
      <c r="M27" s="3"/>
      <c r="N27" s="3"/>
    </row>
    <row r="28" spans="1:14">
      <c r="A28">
        <f t="shared" si="0"/>
        <v>9.6384877707933772</v>
      </c>
      <c r="B28" s="8">
        <f t="shared" si="1"/>
        <v>0.20000000000000004</v>
      </c>
      <c r="I28" s="3"/>
      <c r="J28" s="3"/>
      <c r="K28" s="3"/>
      <c r="L28" s="3"/>
      <c r="M28" s="3"/>
      <c r="N28" s="3"/>
    </row>
    <row r="29" spans="1:14" ht="18.75">
      <c r="A29">
        <f t="shared" si="0"/>
        <v>9.5166503171769428</v>
      </c>
      <c r="B29" s="8">
        <f t="shared" si="1"/>
        <v>0.20000000000000004</v>
      </c>
      <c r="I29" s="20" t="s">
        <v>52</v>
      </c>
      <c r="J29" s="3"/>
      <c r="K29" s="3"/>
      <c r="L29" s="3"/>
      <c r="M29" s="3"/>
      <c r="N29" s="3"/>
    </row>
    <row r="30" spans="1:14">
      <c r="A30">
        <f t="shared" si="0"/>
        <v>9.7195161787104336</v>
      </c>
      <c r="B30" s="8">
        <f t="shared" si="1"/>
        <v>0.20000000000000004</v>
      </c>
      <c r="I30" s="3"/>
      <c r="J30" s="4" t="s">
        <v>54</v>
      </c>
      <c r="K30" s="3"/>
      <c r="L30" s="3"/>
      <c r="M30" s="3"/>
      <c r="N30" s="3"/>
    </row>
    <row r="31" spans="1:14">
      <c r="A31">
        <f t="shared" si="0"/>
        <v>9.8579985986131984</v>
      </c>
      <c r="B31" s="8">
        <f t="shared" si="1"/>
        <v>0.21000000000000005</v>
      </c>
      <c r="I31" s="3"/>
      <c r="J31" s="19" t="s">
        <v>55</v>
      </c>
      <c r="K31" s="3"/>
      <c r="L31" s="3"/>
      <c r="M31" s="3"/>
      <c r="N31" s="3"/>
    </row>
    <row r="32" spans="1:14">
      <c r="A32">
        <f t="shared" si="0"/>
        <v>9.7081551888289521</v>
      </c>
      <c r="B32" s="8">
        <f t="shared" si="1"/>
        <v>0.20000000000000004</v>
      </c>
      <c r="I32" s="3"/>
      <c r="J32" s="3"/>
      <c r="K32" s="3"/>
      <c r="L32" s="3"/>
      <c r="M32" s="3"/>
      <c r="N32" s="3"/>
    </row>
    <row r="33" spans="1:14" ht="18.75">
      <c r="A33">
        <f t="shared" si="0"/>
        <v>9.7597255780958303</v>
      </c>
      <c r="B33" s="8">
        <f t="shared" si="1"/>
        <v>0.21000000000000005</v>
      </c>
      <c r="I33" s="20" t="s">
        <v>56</v>
      </c>
      <c r="J33" s="3"/>
      <c r="K33" s="3"/>
      <c r="L33" s="3"/>
      <c r="M33" s="3"/>
      <c r="N33" s="3"/>
    </row>
    <row r="34" spans="1:14">
      <c r="A34">
        <f t="shared" si="0"/>
        <v>9.7646940408065674</v>
      </c>
      <c r="B34" s="8">
        <f t="shared" si="1"/>
        <v>0.21000000000000005</v>
      </c>
      <c r="I34" s="3"/>
      <c r="J34" s="17" t="s">
        <v>57</v>
      </c>
      <c r="K34" s="3"/>
      <c r="L34" s="3"/>
      <c r="M34" s="3"/>
      <c r="N34" s="3"/>
    </row>
    <row r="35" spans="1:14">
      <c r="A35">
        <f t="shared" si="0"/>
        <v>9.7591889960001446</v>
      </c>
      <c r="B35" s="8">
        <f>ImpliedVol(1,100,95,8%,3%,0.5,A35)</f>
        <v>0.21000000000000005</v>
      </c>
      <c r="I35" s="3"/>
      <c r="J35" s="19" t="s">
        <v>58</v>
      </c>
      <c r="K35" s="3"/>
      <c r="L35" s="3"/>
      <c r="M35" s="3"/>
      <c r="N35" s="3"/>
    </row>
    <row r="36" spans="1:14">
      <c r="I36" s="3"/>
      <c r="J36" s="3"/>
      <c r="K36" s="3"/>
      <c r="L36" s="3"/>
      <c r="M36" s="3"/>
      <c r="N36" s="3"/>
    </row>
    <row r="37" spans="1:14" ht="18.75">
      <c r="I37" s="20" t="s">
        <v>28</v>
      </c>
      <c r="J37" s="3"/>
      <c r="K37" s="3"/>
      <c r="L37" s="3"/>
      <c r="M37" s="3"/>
      <c r="N37" s="3"/>
    </row>
    <row r="38" spans="1:14">
      <c r="I38" s="3"/>
      <c r="J38" s="17" t="s">
        <v>59</v>
      </c>
      <c r="K38" s="3"/>
      <c r="L38" s="3"/>
      <c r="M38" s="3"/>
      <c r="N38" s="3"/>
    </row>
    <row r="39" spans="1:14">
      <c r="I39" s="3"/>
      <c r="J39" s="19" t="s">
        <v>60</v>
      </c>
      <c r="K39" s="3"/>
      <c r="L39" s="3"/>
      <c r="M39" s="3"/>
      <c r="N39" s="3"/>
    </row>
    <row r="40" spans="1:14">
      <c r="I40" s="3"/>
      <c r="J40" s="3"/>
      <c r="K40" s="3"/>
      <c r="L40" s="3"/>
      <c r="M40" s="3"/>
      <c r="N40" s="3"/>
    </row>
    <row r="41" spans="1:14" ht="18.75">
      <c r="I41" s="20" t="s">
        <v>15</v>
      </c>
      <c r="J41" s="3"/>
      <c r="K41" s="3"/>
      <c r="L41" s="3"/>
      <c r="M41" s="3"/>
      <c r="N41" s="3"/>
    </row>
    <row r="42" spans="1:14">
      <c r="I42" s="3"/>
      <c r="J42" s="4" t="s">
        <v>61</v>
      </c>
      <c r="K42" s="3"/>
      <c r="L42" s="3"/>
      <c r="M42" s="3"/>
      <c r="N42" s="3"/>
    </row>
    <row r="43" spans="1:14">
      <c r="I43" s="3"/>
      <c r="J43" s="3" t="s">
        <v>62</v>
      </c>
      <c r="K43" s="3"/>
      <c r="L43" s="3"/>
      <c r="M43" s="3"/>
      <c r="N43" s="3"/>
    </row>
    <row r="44" spans="1:14">
      <c r="I44" s="3"/>
      <c r="J44" s="3" t="s">
        <v>63</v>
      </c>
      <c r="K44" s="3"/>
      <c r="L44" s="3"/>
      <c r="M44" s="3"/>
      <c r="N44" s="3"/>
    </row>
    <row r="45" spans="1:14">
      <c r="I45" s="3"/>
      <c r="J45" s="3" t="s">
        <v>64</v>
      </c>
      <c r="K45" s="3"/>
      <c r="L45" s="3"/>
      <c r="M45" s="3"/>
      <c r="N45" s="3"/>
    </row>
    <row r="46" spans="1:14">
      <c r="I46" s="3"/>
      <c r="J46" s="3"/>
      <c r="K46" s="3"/>
      <c r="L46" s="3"/>
      <c r="M46" s="3"/>
      <c r="N46" s="3"/>
    </row>
    <row r="47" spans="1:14" ht="18.75">
      <c r="I47" s="20" t="s">
        <v>16</v>
      </c>
      <c r="J47" s="3"/>
      <c r="K47" s="3"/>
      <c r="L47" s="3"/>
      <c r="M47" s="3"/>
      <c r="N47" s="3"/>
    </row>
    <row r="48" spans="1:14">
      <c r="I48" s="3"/>
      <c r="J48" s="4" t="s">
        <v>65</v>
      </c>
      <c r="K48" s="3"/>
      <c r="L48" s="3"/>
      <c r="M48" s="3"/>
      <c r="N48" s="3"/>
    </row>
    <row r="49" spans="9:14">
      <c r="I49" s="3"/>
      <c r="J49" s="3" t="s">
        <v>62</v>
      </c>
      <c r="K49" s="3"/>
      <c r="L49" s="3"/>
      <c r="M49" s="3"/>
      <c r="N49" s="3"/>
    </row>
    <row r="50" spans="9:14">
      <c r="I50" s="3"/>
      <c r="J50" s="3" t="s">
        <v>63</v>
      </c>
      <c r="K50" s="3"/>
      <c r="L50" s="3"/>
      <c r="M50" s="3"/>
      <c r="N50" s="3"/>
    </row>
    <row r="51" spans="9:14">
      <c r="I51" s="3"/>
      <c r="J51" s="3" t="s">
        <v>64</v>
      </c>
      <c r="K51" s="3"/>
      <c r="L51" s="3"/>
      <c r="M51" s="3"/>
      <c r="N51" s="3"/>
    </row>
    <row r="52" spans="9:14">
      <c r="I52" s="3"/>
      <c r="J52" s="3"/>
      <c r="K52" s="3"/>
      <c r="L52" s="3"/>
      <c r="M52" s="3"/>
      <c r="N52" s="3"/>
    </row>
  </sheetData>
  <mergeCells count="1">
    <mergeCell ref="I1:N1"/>
  </mergeCells>
  <pageMargins left="0.7" right="0.7" top="0.75" bottom="0.75" header="0.3" footer="0.3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/>
  <dimension ref="A1:K36"/>
  <sheetViews>
    <sheetView zoomScale="120" zoomScaleNormal="120" workbookViewId="0">
      <selection activeCell="H18" sqref="H18"/>
    </sheetView>
  </sheetViews>
  <sheetFormatPr baseColWidth="10" defaultRowHeight="15"/>
  <cols>
    <col min="1" max="1" width="28.85546875" customWidth="1"/>
    <col min="6" max="6" width="17.28515625" bestFit="1" customWidth="1"/>
    <col min="8" max="8" width="13.5703125" bestFit="1" customWidth="1"/>
    <col min="10" max="10" width="16.28515625" customWidth="1"/>
  </cols>
  <sheetData>
    <row r="1" spans="1:10">
      <c r="A1" s="3"/>
      <c r="B1" s="3"/>
      <c r="C1" s="3"/>
      <c r="D1" s="3"/>
      <c r="E1" s="3"/>
      <c r="F1" s="3"/>
      <c r="G1" s="3"/>
      <c r="H1" s="3"/>
      <c r="I1" s="3"/>
      <c r="J1" s="3"/>
    </row>
    <row r="2" spans="1:10">
      <c r="A2" s="4" t="s">
        <v>9</v>
      </c>
      <c r="B2" s="4"/>
      <c r="C2" s="4"/>
      <c r="D2" s="4"/>
      <c r="E2" s="4"/>
      <c r="F2" s="4"/>
      <c r="G2" s="4"/>
      <c r="H2" s="4"/>
      <c r="I2" s="4"/>
      <c r="J2" s="4"/>
    </row>
    <row r="3" spans="1:10">
      <c r="A3" s="4"/>
      <c r="B3" s="10" t="s">
        <v>2</v>
      </c>
      <c r="C3" s="10"/>
      <c r="D3" s="10" t="s">
        <v>4</v>
      </c>
      <c r="E3" s="10"/>
      <c r="F3" s="10" t="s">
        <v>3</v>
      </c>
      <c r="G3" s="4"/>
      <c r="H3" s="4"/>
      <c r="I3" s="4"/>
      <c r="J3" s="4"/>
    </row>
    <row r="4" spans="1:10">
      <c r="A4" s="4"/>
      <c r="B4" s="10"/>
      <c r="C4" s="10"/>
      <c r="D4" s="10" t="s">
        <v>6</v>
      </c>
      <c r="E4" s="10"/>
      <c r="F4" s="10" t="s">
        <v>5</v>
      </c>
      <c r="G4" s="4"/>
      <c r="H4" s="4"/>
      <c r="I4" s="4"/>
      <c r="J4" s="4"/>
    </row>
    <row r="5" spans="1:10">
      <c r="A5" s="3"/>
      <c r="B5" s="3">
        <v>1</v>
      </c>
      <c r="C5" s="3"/>
      <c r="D5" s="3">
        <v>0.94099999999999995</v>
      </c>
      <c r="E5" s="3"/>
      <c r="F5" s="5">
        <f>-LN(D5)/B5</f>
        <v>6.0812139396757475E-2</v>
      </c>
      <c r="G5" s="22"/>
      <c r="H5" s="6"/>
      <c r="I5" s="3"/>
      <c r="J5" s="5"/>
    </row>
    <row r="6" spans="1:10">
      <c r="A6" s="3"/>
      <c r="B6" s="3">
        <v>2</v>
      </c>
      <c r="C6" s="3"/>
      <c r="D6" s="3">
        <v>0.88500000000000001</v>
      </c>
      <c r="E6" s="3"/>
      <c r="F6" s="5">
        <f t="shared" ref="F6:F14" si="0">-LN(D6)/B6</f>
        <v>6.1083816987103766E-2</v>
      </c>
      <c r="G6" s="22"/>
      <c r="H6" s="5"/>
      <c r="I6" s="3"/>
      <c r="J6" s="5"/>
    </row>
    <row r="7" spans="1:10">
      <c r="A7" s="3"/>
      <c r="B7" s="3">
        <v>3</v>
      </c>
      <c r="C7" s="3"/>
      <c r="D7" s="3">
        <v>0.83</v>
      </c>
      <c r="E7" s="3"/>
      <c r="F7" s="5">
        <f t="shared" si="0"/>
        <v>6.2109859397164492E-2</v>
      </c>
      <c r="G7" s="22"/>
      <c r="H7" s="5"/>
      <c r="I7" s="3"/>
      <c r="J7" s="5"/>
    </row>
    <row r="8" spans="1:10">
      <c r="A8" s="3"/>
      <c r="B8" s="3">
        <v>4</v>
      </c>
      <c r="C8" s="3"/>
      <c r="D8" s="3">
        <v>0.77700000000000002</v>
      </c>
      <c r="E8" s="3"/>
      <c r="F8" s="5">
        <f t="shared" si="0"/>
        <v>6.3078732153622391E-2</v>
      </c>
      <c r="G8" s="22"/>
      <c r="H8" s="5"/>
      <c r="I8" s="3"/>
      <c r="J8" s="5"/>
    </row>
    <row r="9" spans="1:10">
      <c r="A9" s="3"/>
      <c r="B9" s="3">
        <v>5</v>
      </c>
      <c r="C9" s="3"/>
      <c r="D9" s="3">
        <v>0.72599999999999998</v>
      </c>
      <c r="E9" s="3"/>
      <c r="F9" s="5">
        <f t="shared" si="0"/>
        <v>6.4041052831468201E-2</v>
      </c>
      <c r="G9" s="3"/>
      <c r="H9" s="5"/>
      <c r="I9" s="3"/>
      <c r="J9" s="5"/>
    </row>
    <row r="10" spans="1:10">
      <c r="A10" s="3"/>
      <c r="B10" s="3">
        <v>6</v>
      </c>
      <c r="C10" s="3"/>
      <c r="D10" s="3">
        <v>0.67700000000000005</v>
      </c>
      <c r="E10" s="3"/>
      <c r="F10" s="5">
        <f t="shared" si="0"/>
        <v>6.501400101164366E-2</v>
      </c>
      <c r="G10" s="3"/>
      <c r="H10" s="5"/>
      <c r="I10" s="3"/>
      <c r="J10" s="5"/>
    </row>
    <row r="11" spans="1:10">
      <c r="A11" s="3"/>
      <c r="B11" s="3">
        <v>7</v>
      </c>
      <c r="C11" s="3"/>
      <c r="D11" s="3">
        <v>0.63</v>
      </c>
      <c r="E11" s="3"/>
      <c r="F11" s="5">
        <f t="shared" si="0"/>
        <v>6.6005065656651235E-2</v>
      </c>
      <c r="G11" s="3"/>
      <c r="H11" s="5"/>
      <c r="I11" s="3"/>
      <c r="J11" s="5"/>
    </row>
    <row r="12" spans="1:10">
      <c r="A12" s="3"/>
      <c r="B12" s="3">
        <v>8</v>
      </c>
      <c r="C12" s="3"/>
      <c r="D12" s="3">
        <v>0.58499999999999996</v>
      </c>
      <c r="E12" s="3"/>
      <c r="F12" s="5">
        <f t="shared" si="0"/>
        <v>6.7017928968785084E-2</v>
      </c>
      <c r="G12" s="3"/>
      <c r="H12" s="5"/>
      <c r="I12" s="3"/>
      <c r="J12" s="5"/>
    </row>
    <row r="13" spans="1:10">
      <c r="A13" s="3"/>
      <c r="B13" s="3">
        <v>9</v>
      </c>
      <c r="C13" s="3"/>
      <c r="D13" s="3">
        <v>0.54200000000000004</v>
      </c>
      <c r="E13" s="3"/>
      <c r="F13" s="5">
        <f t="shared" si="0"/>
        <v>6.8054364171387868E-2</v>
      </c>
      <c r="G13" s="3"/>
      <c r="H13" s="5"/>
      <c r="I13" s="3"/>
      <c r="J13" s="5"/>
    </row>
    <row r="14" spans="1:10">
      <c r="A14" s="3"/>
      <c r="B14" s="3">
        <v>10</v>
      </c>
      <c r="C14" s="3"/>
      <c r="D14" s="3">
        <v>0.502</v>
      </c>
      <c r="E14" s="3"/>
      <c r="F14" s="5">
        <f t="shared" si="0"/>
        <v>6.8915515929040785E-2</v>
      </c>
      <c r="G14" s="3"/>
      <c r="H14" s="5"/>
      <c r="I14" s="3"/>
      <c r="J14" s="5"/>
    </row>
    <row r="15" spans="1:10">
      <c r="A15" s="3"/>
      <c r="B15" s="3"/>
      <c r="C15" s="3"/>
      <c r="D15" s="3"/>
      <c r="E15" s="3"/>
      <c r="F15" s="3"/>
      <c r="G15" s="3"/>
      <c r="H15" s="3"/>
      <c r="I15" s="3"/>
      <c r="J15" s="3"/>
    </row>
    <row r="16" spans="1:10">
      <c r="F16" s="23" t="s">
        <v>10</v>
      </c>
      <c r="G16" s="23" t="e">
        <f>BondValue(10,0.05,1)</f>
        <v>#VALUE!</v>
      </c>
      <c r="H16" s="28"/>
    </row>
    <row r="17" spans="1:11">
      <c r="A17" s="23"/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1:11">
      <c r="A18" s="7"/>
      <c r="B18" s="7"/>
      <c r="C18" s="7"/>
      <c r="D18" s="7"/>
      <c r="E18" s="7"/>
      <c r="F18" s="23"/>
      <c r="G18" s="23"/>
      <c r="H18" s="23"/>
      <c r="I18" s="23"/>
      <c r="J18" s="23"/>
      <c r="K18" s="7"/>
    </row>
    <row r="19" spans="1:11">
      <c r="A19" s="7"/>
      <c r="B19" s="7"/>
      <c r="C19" s="7"/>
      <c r="D19" s="7"/>
      <c r="E19" s="7"/>
      <c r="F19" s="23"/>
      <c r="G19" s="23"/>
      <c r="H19" s="23"/>
      <c r="I19" s="23"/>
      <c r="J19" s="23"/>
      <c r="K19" s="7"/>
    </row>
    <row r="20" spans="1:11">
      <c r="A20" s="7"/>
      <c r="B20" s="7"/>
      <c r="C20" s="7"/>
      <c r="D20" s="7"/>
      <c r="E20" s="7"/>
      <c r="F20" s="24"/>
      <c r="G20" s="7"/>
      <c r="H20" s="25"/>
      <c r="I20" s="7"/>
      <c r="J20" s="26"/>
      <c r="K20" s="7"/>
    </row>
    <row r="21" spans="1:11">
      <c r="A21" s="7"/>
      <c r="B21" s="7"/>
      <c r="C21" s="7"/>
      <c r="D21" s="7"/>
      <c r="E21" s="7"/>
      <c r="F21" s="7"/>
      <c r="G21" s="32"/>
      <c r="H21" s="32"/>
      <c r="I21" s="7"/>
      <c r="J21" s="7"/>
      <c r="K21" s="7"/>
    </row>
    <row r="22" spans="1:11">
      <c r="A22" s="7"/>
      <c r="B22" s="7"/>
      <c r="C22" s="7"/>
      <c r="D22" s="23"/>
      <c r="E22" s="23"/>
      <c r="F22" s="23"/>
      <c r="G22" s="23"/>
      <c r="H22" s="23"/>
      <c r="I22" s="23"/>
      <c r="J22" s="23"/>
      <c r="K22" s="7"/>
    </row>
    <row r="23" spans="1:11">
      <c r="A23" s="7"/>
      <c r="B23" s="7"/>
      <c r="C23" s="7"/>
      <c r="D23" s="23"/>
      <c r="E23" s="23"/>
      <c r="F23" s="23"/>
      <c r="G23" s="23"/>
      <c r="H23" s="23"/>
      <c r="I23" s="23"/>
      <c r="J23" s="23"/>
      <c r="K23" s="7"/>
    </row>
    <row r="24" spans="1:1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</row>
    <row r="25" spans="1:11">
      <c r="A25" s="7"/>
      <c r="B25" s="7"/>
      <c r="C25" s="7"/>
      <c r="D25" s="7"/>
      <c r="E25" s="7"/>
      <c r="F25" s="26"/>
      <c r="G25" s="7"/>
      <c r="H25" s="7"/>
      <c r="I25" s="7"/>
      <c r="J25" s="26"/>
      <c r="K25" s="7"/>
    </row>
    <row r="26" spans="1:11">
      <c r="A26" s="7"/>
      <c r="B26" s="7"/>
      <c r="C26" s="7"/>
      <c r="D26" s="7"/>
      <c r="E26" s="7"/>
      <c r="F26" s="26"/>
      <c r="G26" s="27"/>
      <c r="H26" s="7"/>
      <c r="I26" s="7"/>
      <c r="J26" s="26"/>
      <c r="K26" s="7"/>
    </row>
    <row r="27" spans="1:11">
      <c r="A27" s="7"/>
      <c r="B27" s="7"/>
      <c r="C27" s="7"/>
      <c r="D27" s="7"/>
      <c r="E27" s="7"/>
      <c r="F27" s="26"/>
      <c r="G27" s="27"/>
      <c r="H27" s="7"/>
      <c r="I27" s="7"/>
      <c r="J27" s="26"/>
      <c r="K27" s="7"/>
    </row>
    <row r="28" spans="1:11">
      <c r="A28" s="7"/>
      <c r="B28" s="7"/>
      <c r="C28" s="7"/>
      <c r="D28" s="7"/>
      <c r="E28" s="7"/>
      <c r="F28" s="26"/>
      <c r="G28" s="27"/>
      <c r="H28" s="7"/>
      <c r="I28" s="7"/>
      <c r="J28" s="26"/>
      <c r="K28" s="7"/>
    </row>
    <row r="29" spans="1:11">
      <c r="A29" s="7"/>
      <c r="B29" s="7"/>
      <c r="C29" s="7"/>
      <c r="D29" s="7"/>
      <c r="E29" s="7"/>
      <c r="F29" s="26"/>
      <c r="G29" s="27"/>
      <c r="H29" s="7"/>
      <c r="I29" s="7"/>
      <c r="J29" s="26"/>
      <c r="K29" s="7"/>
    </row>
    <row r="30" spans="1:11">
      <c r="A30" s="7"/>
      <c r="B30" s="7"/>
      <c r="C30" s="7"/>
      <c r="D30" s="7"/>
      <c r="E30" s="7"/>
      <c r="F30" s="26"/>
      <c r="G30" s="27"/>
      <c r="H30" s="7"/>
      <c r="I30" s="7"/>
      <c r="J30" s="26"/>
      <c r="K30" s="7"/>
    </row>
    <row r="31" spans="1:11">
      <c r="A31" s="7"/>
      <c r="B31" s="7"/>
      <c r="C31" s="7"/>
      <c r="D31" s="7"/>
      <c r="E31" s="7"/>
      <c r="F31" s="26"/>
      <c r="G31" s="27"/>
      <c r="H31" s="7"/>
      <c r="I31" s="7"/>
      <c r="J31" s="26"/>
      <c r="K31" s="7"/>
    </row>
    <row r="32" spans="1:11">
      <c r="A32" s="7"/>
      <c r="B32" s="7"/>
      <c r="C32" s="7"/>
      <c r="D32" s="7"/>
      <c r="E32" s="7"/>
      <c r="F32" s="26"/>
      <c r="G32" s="27"/>
      <c r="H32" s="7"/>
      <c r="I32" s="7"/>
      <c r="J32" s="26"/>
      <c r="K32" s="7"/>
    </row>
    <row r="33" spans="1:11">
      <c r="A33" s="7"/>
      <c r="B33" s="7"/>
      <c r="C33" s="7"/>
      <c r="D33" s="7"/>
      <c r="E33" s="7"/>
      <c r="F33" s="26"/>
      <c r="G33" s="27"/>
      <c r="H33" s="7"/>
      <c r="I33" s="7"/>
      <c r="J33" s="26"/>
      <c r="K33" s="7"/>
    </row>
    <row r="34" spans="1:11">
      <c r="A34" s="7"/>
      <c r="B34" s="7"/>
      <c r="C34" s="7"/>
      <c r="D34" s="7"/>
      <c r="E34" s="7"/>
      <c r="F34" s="26"/>
      <c r="G34" s="27"/>
      <c r="H34" s="7"/>
      <c r="I34" s="7"/>
      <c r="J34" s="26"/>
      <c r="K34" s="7"/>
    </row>
    <row r="35" spans="1:11">
      <c r="A35" s="7"/>
      <c r="B35" s="7"/>
      <c r="C35" s="7"/>
      <c r="D35" s="7"/>
      <c r="E35" s="7"/>
      <c r="F35" s="7"/>
      <c r="G35" s="26"/>
      <c r="H35" s="7"/>
      <c r="I35" s="7"/>
      <c r="J35" s="7"/>
    </row>
    <row r="36" spans="1:11">
      <c r="A36" s="7"/>
      <c r="B36" s="7"/>
      <c r="C36" s="7"/>
      <c r="D36" s="7"/>
      <c r="E36" s="7"/>
      <c r="F36" s="26"/>
      <c r="G36" s="7"/>
      <c r="H36" s="7"/>
      <c r="I36" s="7"/>
      <c r="J36" s="7"/>
    </row>
  </sheetData>
  <mergeCells count="1">
    <mergeCell ref="G21:H2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A4"/>
  <sheetViews>
    <sheetView workbookViewId="0">
      <selection activeCell="A6" sqref="A6"/>
    </sheetView>
  </sheetViews>
  <sheetFormatPr baseColWidth="10" defaultRowHeight="15"/>
  <sheetData>
    <row r="1" spans="1:1">
      <c r="A1" t="s">
        <v>68</v>
      </c>
    </row>
    <row r="2" spans="1:1">
      <c r="A2" t="s">
        <v>67</v>
      </c>
    </row>
    <row r="3" spans="1:1">
      <c r="A3" t="s">
        <v>66</v>
      </c>
    </row>
    <row r="4" spans="1:1">
      <c r="A4" t="s">
        <v>69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options_equities</vt:lpstr>
      <vt:lpstr>options_bonds</vt:lpstr>
      <vt:lpstr>Source</vt:lpstr>
      <vt:lpstr>check_zero</vt:lpstr>
      <vt:lpstr>deb_zero_yiel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davidd</dc:creator>
  <cp:lastModifiedBy>davidd</cp:lastModifiedBy>
  <dcterms:created xsi:type="dcterms:W3CDTF">2019-07-09T10:28:14Z</dcterms:created>
  <dcterms:modified xsi:type="dcterms:W3CDTF">2019-10-03T14:42:57Z</dcterms:modified>
</cp:coreProperties>
</file>